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/Documents/Arduino/projects/MultiGuage/"/>
    </mc:Choice>
  </mc:AlternateContent>
  <xr:revisionPtr revIDLastSave="0" documentId="13_ncr:1_{D4046E81-75B4-F141-B7B0-6DCF74BD0FEC}" xr6:coauthVersionLast="47" xr6:coauthVersionMax="47" xr10:uidLastSave="{00000000-0000-0000-0000-000000000000}"/>
  <bookViews>
    <workbookView xWindow="21780" yWindow="3380" windowWidth="28040" windowHeight="17440" activeTab="1" xr2:uid="{74D6554D-6AAC-114C-9207-9F1BF0A0B555}"/>
  </bookViews>
  <sheets>
    <sheet name="Sheet3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C49" i="1"/>
  <c r="C50" i="1"/>
  <c r="C51" i="1"/>
  <c r="C47" i="1"/>
  <c r="B48" i="1"/>
  <c r="B49" i="1"/>
  <c r="B50" i="1"/>
  <c r="B51" i="1"/>
  <c r="B47" i="1"/>
  <c r="B27" i="1"/>
  <c r="B25" i="1"/>
  <c r="B3" i="1" s="1"/>
  <c r="C3" i="1" l="1"/>
  <c r="B8" i="1"/>
  <c r="C8" i="1" s="1"/>
  <c r="B7" i="1"/>
  <c r="C7" i="1" s="1"/>
  <c r="B14" i="1"/>
  <c r="C14" i="1" s="1"/>
  <c r="B5" i="1"/>
  <c r="C5" i="1" s="1"/>
  <c r="B20" i="1"/>
  <c r="C20" i="1" s="1"/>
  <c r="B12" i="1"/>
  <c r="C12" i="1" s="1"/>
  <c r="B4" i="1"/>
  <c r="C4" i="1" s="1"/>
  <c r="B18" i="1"/>
  <c r="C18" i="1" s="1"/>
  <c r="B10" i="1"/>
  <c r="C10" i="1" s="1"/>
  <c r="B17" i="1"/>
  <c r="C17" i="1" s="1"/>
  <c r="B9" i="1"/>
  <c r="C9" i="1" s="1"/>
  <c r="B16" i="1"/>
  <c r="C16" i="1" s="1"/>
  <c r="B2" i="1"/>
  <c r="C2" i="1" s="1"/>
  <c r="B15" i="1"/>
  <c r="C15" i="1" s="1"/>
  <c r="B22" i="1"/>
  <c r="C22" i="1" s="1"/>
  <c r="B6" i="1"/>
  <c r="C6" i="1" s="1"/>
  <c r="B21" i="1"/>
  <c r="C21" i="1" s="1"/>
  <c r="B13" i="1"/>
  <c r="C13" i="1" s="1"/>
  <c r="B19" i="1"/>
  <c r="C19" i="1" s="1"/>
  <c r="B11" i="1"/>
  <c r="C11" i="1" s="1"/>
</calcChain>
</file>

<file path=xl/sharedStrings.xml><?xml version="1.0" encoding="utf-8"?>
<sst xmlns="http://schemas.openxmlformats.org/spreadsheetml/2006/main" count="37" uniqueCount="33">
  <si>
    <t>voltage</t>
  </si>
  <si>
    <t>pressure</t>
  </si>
  <si>
    <t>3.3V</t>
  </si>
  <si>
    <t>ratio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</si>
  <si>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</si>
  <si>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</si>
  <si>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</si>
  <si>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</si>
  <si>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</si>
  <si>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</si>
  <si>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</si>
  <si>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</si>
  <si>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</si>
  <si>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</si>
  <si>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</si>
  <si>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</si>
  <si>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</si>
  <si>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</si>
  <si>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</si>
  <si>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</si>
  <si>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</si>
  <si>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</si>
  <si>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</si>
  <si>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</si>
  <si>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</si>
  <si>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</si>
  <si>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</si>
  <si>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</si>
  <si>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</si>
  <si>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</si>
  <si>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pressure</t>
  </si>
  <si>
    <t>Residuals</t>
  </si>
  <si>
    <t>3.3v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</si>
</sst>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398098132255137"/>
                  <c:y val="3.58257795095200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Sheet1!$B$3:$B$21</c:f>
              <c:numCache>
                <c:formatCode>General</c:formatCode>
                <c:ptCount val="19"/>
                <c:pt idx="0">
                  <c:v>0.13320000000000001</c:v>
                </c:pt>
                <c:pt idx="1">
                  <c:v>0.26640000000000003</c:v>
                </c:pt>
                <c:pt idx="2">
                  <c:v>0.39960000000000001</c:v>
                </c:pt>
                <c:pt idx="3">
                  <c:v>0.53280000000000005</c:v>
                </c:pt>
                <c:pt idx="4">
                  <c:v>0.66600000000000004</c:v>
                </c:pt>
                <c:pt idx="5">
                  <c:v>0.81918000000000002</c:v>
                </c:pt>
                <c:pt idx="6">
                  <c:v>0.97902</c:v>
                </c:pt>
                <c:pt idx="7">
                  <c:v>1.1322000000000001</c:v>
                </c:pt>
                <c:pt idx="8">
                  <c:v>1.28538</c:v>
                </c:pt>
                <c:pt idx="9">
                  <c:v>1.4452199999999999</c:v>
                </c:pt>
                <c:pt idx="10">
                  <c:v>1.5984</c:v>
                </c:pt>
                <c:pt idx="11">
                  <c:v>1.7515799999999999</c:v>
                </c:pt>
                <c:pt idx="12">
                  <c:v>1.9114200000000001</c:v>
                </c:pt>
                <c:pt idx="13">
                  <c:v>2.0646</c:v>
                </c:pt>
                <c:pt idx="14">
                  <c:v>2.2177800000000003</c:v>
                </c:pt>
                <c:pt idx="15">
                  <c:v>2.3776199999999998</c:v>
                </c:pt>
                <c:pt idx="16">
                  <c:v>2.5308000000000002</c:v>
                </c:pt>
                <c:pt idx="17">
                  <c:v>2.6839800000000005</c:v>
                </c:pt>
                <c:pt idx="18">
                  <c:v>2.84382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-0.8</c:v>
                </c:pt>
                <c:pt idx="1">
                  <c:v>-0.6</c:v>
                </c:pt>
                <c:pt idx="2">
                  <c:v>-0.4</c:v>
                </c:pt>
                <c:pt idx="3">
                  <c:v>-0.2</c:v>
                </c:pt>
                <c:pt idx="4">
                  <c:v>0</c:v>
                </c:pt>
                <c:pt idx="5">
                  <c:v>0.2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2.2000000000000002</c:v>
                </c:pt>
                <c:pt idx="16">
                  <c:v>2.4</c:v>
                </c:pt>
                <c:pt idx="17">
                  <c:v>2.6</c:v>
                </c:pt>
                <c:pt idx="18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7D-FD47-89CE-7A1937D5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4515920"/>
        <c:axId val="2124573792"/>
      </c:scatterChart>
      <c:valAx>
        <c:axId val="2124515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573792"/>
        <c:crosses val="autoZero"/>
        <c:crossBetween val="midCat"/>
      </c:valAx>
      <c:valAx>
        <c:axId val="21245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51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Sheet1!$C$3:$C$21</c:f>
              <c:numCache>
                <c:formatCode>General</c:formatCode>
                <c:ptCount val="19"/>
                <c:pt idx="0">
                  <c:v>4.019999999999993E-2</c:v>
                </c:pt>
                <c:pt idx="1">
                  <c:v>0.17339999999999994</c:v>
                </c:pt>
                <c:pt idx="2">
                  <c:v>0.30659999999999993</c:v>
                </c:pt>
                <c:pt idx="3">
                  <c:v>0.43979999999999997</c:v>
                </c:pt>
                <c:pt idx="4">
                  <c:v>0.57299999999999995</c:v>
                </c:pt>
                <c:pt idx="5">
                  <c:v>0.72617999999999994</c:v>
                </c:pt>
                <c:pt idx="6">
                  <c:v>0.88601999999999992</c:v>
                </c:pt>
                <c:pt idx="7">
                  <c:v>1.0392000000000001</c:v>
                </c:pt>
                <c:pt idx="8">
                  <c:v>1.19238</c:v>
                </c:pt>
                <c:pt idx="9">
                  <c:v>1.35222</c:v>
                </c:pt>
                <c:pt idx="10">
                  <c:v>1.5053999999999998</c:v>
                </c:pt>
                <c:pt idx="11">
                  <c:v>1.6585799999999997</c:v>
                </c:pt>
                <c:pt idx="12">
                  <c:v>1.8184200000000001</c:v>
                </c:pt>
                <c:pt idx="13">
                  <c:v>1.9716</c:v>
                </c:pt>
                <c:pt idx="14">
                  <c:v>2.1247800000000003</c:v>
                </c:pt>
                <c:pt idx="15">
                  <c:v>2.2846199999999999</c:v>
                </c:pt>
                <c:pt idx="16">
                  <c:v>2.4378000000000002</c:v>
                </c:pt>
                <c:pt idx="17">
                  <c:v>2.5909800000000005</c:v>
                </c:pt>
                <c:pt idx="18">
                  <c:v>2.75082</c:v>
                </c:pt>
              </c:numCache>
            </c:numRef>
          </c:xVal>
          <c:yVal>
            <c:numRef>
              <c:f>Sheet1!$D$3:$D$21</c:f>
              <c:numCache>
                <c:formatCode>General</c:formatCode>
                <c:ptCount val="19"/>
                <c:pt idx="0">
                  <c:v>-0.8</c:v>
                </c:pt>
                <c:pt idx="1">
                  <c:v>-0.6</c:v>
                </c:pt>
                <c:pt idx="2">
                  <c:v>-0.4</c:v>
                </c:pt>
                <c:pt idx="3">
                  <c:v>-0.2</c:v>
                </c:pt>
                <c:pt idx="4">
                  <c:v>0</c:v>
                </c:pt>
                <c:pt idx="5">
                  <c:v>0.2</c:v>
                </c:pt>
                <c:pt idx="6">
                  <c:v>0.4</c:v>
                </c:pt>
                <c:pt idx="7">
                  <c:v>0.6</c:v>
                </c:pt>
                <c:pt idx="8">
                  <c:v>0.8</c:v>
                </c:pt>
                <c:pt idx="9">
                  <c:v>1</c:v>
                </c:pt>
                <c:pt idx="10">
                  <c:v>1.2</c:v>
                </c:pt>
                <c:pt idx="11">
                  <c:v>1.4</c:v>
                </c:pt>
                <c:pt idx="12">
                  <c:v>1.6</c:v>
                </c:pt>
                <c:pt idx="13">
                  <c:v>1.8</c:v>
                </c:pt>
                <c:pt idx="14">
                  <c:v>2</c:v>
                </c:pt>
                <c:pt idx="15">
                  <c:v>2.2000000000000002</c:v>
                </c:pt>
                <c:pt idx="16">
                  <c:v>2.4</c:v>
                </c:pt>
                <c:pt idx="17">
                  <c:v>2.6</c:v>
                </c:pt>
                <c:pt idx="18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8-6D46-B1CF-BDCA140FE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473695"/>
        <c:axId val="424313071"/>
      </c:scatterChart>
      <c:valAx>
        <c:axId val="42447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313071"/>
        <c:crosses val="autoZero"/>
        <c:crossBetween val="midCat"/>
      </c:valAx>
      <c:valAx>
        <c:axId val="42431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47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Sheet1!$B$31:$B$37</c:f>
              <c:numCache>
                <c:formatCode>General</c:formatCode>
                <c:ptCount val="7"/>
                <c:pt idx="0">
                  <c:v>2.25</c:v>
                </c:pt>
                <c:pt idx="1">
                  <c:v>2</c:v>
                </c:pt>
                <c:pt idx="2">
                  <c:v>1.5</c:v>
                </c:pt>
                <c:pt idx="3">
                  <c:v>1.25</c:v>
                </c:pt>
                <c:pt idx="4">
                  <c:v>1</c:v>
                </c:pt>
                <c:pt idx="5">
                  <c:v>0.75</c:v>
                </c:pt>
                <c:pt idx="6">
                  <c:v>0.5</c:v>
                </c:pt>
              </c:numCache>
            </c:numRef>
          </c:xVal>
          <c:yVal>
            <c:numRef>
              <c:f>Sheet1!$C$31:$C$37</c:f>
              <c:numCache>
                <c:formatCode>General</c:formatCode>
                <c:ptCount val="7"/>
                <c:pt idx="0">
                  <c:v>1.83</c:v>
                </c:pt>
                <c:pt idx="1">
                  <c:v>1.76</c:v>
                </c:pt>
                <c:pt idx="2">
                  <c:v>1.5</c:v>
                </c:pt>
                <c:pt idx="3">
                  <c:v>1.375</c:v>
                </c:pt>
                <c:pt idx="4">
                  <c:v>1.2210000000000001</c:v>
                </c:pt>
                <c:pt idx="5">
                  <c:v>1.0900000000000001</c:v>
                </c:pt>
                <c:pt idx="6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DC-8942-B0F8-38D1CF2DA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230239"/>
        <c:axId val="2132790368"/>
      </c:scatterChart>
      <c:valAx>
        <c:axId val="38423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90368"/>
        <c:crosses val="autoZero"/>
        <c:crossBetween val="midCat"/>
      </c:valAx>
      <c:valAx>
        <c:axId val="21327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23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Sheet1!$C$30</c:f>
              <c:strCache>
                <c:ptCount val="1"/>
                <c:pt idx="0">
                  <c:v>voltage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Sheet1!$C$31:$C$37</c:f>
              <c:numCache>
                <c:formatCode>General</c:formatCode>
                <c:ptCount val="7"/>
                <c:pt idx="0">
                  <c:v>1.83</c:v>
                </c:pt>
                <c:pt idx="1">
                  <c:v>1.76</c:v>
                </c:pt>
                <c:pt idx="2">
                  <c:v>1.5</c:v>
                </c:pt>
                <c:pt idx="3">
                  <c:v>1.375</c:v>
                </c:pt>
                <c:pt idx="4">
                  <c:v>1.2210000000000001</c:v>
                </c:pt>
                <c:pt idx="5">
                  <c:v>1.0900000000000001</c:v>
                </c:pt>
                <c:pt idx="6">
                  <c:v>0.95</c:v>
                </c:pt>
              </c:numCache>
            </c:numRef>
          </c:xVal>
          <c:yVal>
            <c:numRef>
              <c:f>Sheet1!$B$31:$B$37</c:f>
              <c:numCache>
                <c:formatCode>General</c:formatCode>
                <c:ptCount val="7"/>
                <c:pt idx="0">
                  <c:v>2.25</c:v>
                </c:pt>
                <c:pt idx="1">
                  <c:v>2</c:v>
                </c:pt>
                <c:pt idx="2">
                  <c:v>1.5</c:v>
                </c:pt>
                <c:pt idx="3">
                  <c:v>1.25</c:v>
                </c:pt>
                <c:pt idx="4">
                  <c:v>1</c:v>
                </c:pt>
                <c:pt idx="5">
                  <c:v>0.75</c:v>
                </c:pt>
                <c:pt idx="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D-2A48-B9A7-690BDEBD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119"/>
        <c:axId val="478521407"/>
      </c:scatterChart>
      <c:valAx>
        <c:axId val="3189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21407"/>
        <c:crosses val="autoZero"/>
        <c:crossBetween val="midCat"/>
      </c:valAx>
      <c:valAx>
        <c:axId val="4785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9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Sheet1!$C$41:$C$45</c:f>
              <c:numCache>
                <c:formatCode>General</c:formatCode>
                <c:ptCount val="5"/>
                <c:pt idx="0">
                  <c:v>0.4</c:v>
                </c:pt>
                <c:pt idx="1">
                  <c:v>1</c:v>
                </c:pt>
                <c:pt idx="2">
                  <c:v>2.17</c:v>
                </c:pt>
                <c:pt idx="3">
                  <c:v>3.33</c:v>
                </c:pt>
                <c:pt idx="4">
                  <c:v>4.5</c:v>
                </c:pt>
              </c:numCache>
            </c:numRef>
          </c:xVal>
          <c:yVal>
            <c:numRef>
              <c:f>Sheet1!$B$47:$B$51</c:f>
              <c:numCache>
                <c:formatCode>General</c:formatCode>
                <c:ptCount val="5"/>
                <c:pt idx="0">
                  <c:v>-0.62052703429446077</c:v>
                </c:pt>
                <c:pt idx="1">
                  <c:v>0</c:v>
                </c:pt>
                <c:pt idx="2">
                  <c:v>1.0342117238241013</c:v>
                </c:pt>
                <c:pt idx="3">
                  <c:v>2.0684234476482026</c:v>
                </c:pt>
                <c:pt idx="4">
                  <c:v>3.1026351714723037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B24F-8846-822E93D36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12671"/>
        <c:axId val="95814383"/>
      </c:scatterChart>
      <c:valAx>
        <c:axId val="9581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4383"/>
        <c:crosses val="autoZero"/>
        <c:crossBetween val="midCat"/>
      </c:valAx>
      <c:valAx>
        <c:axId val="9581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1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Sheet1!$C$47:$C$51</c:f>
              <c:numCache>
                <c:formatCode>General</c:formatCode>
                <c:ptCount val="5"/>
                <c:pt idx="0">
                  <c:v>0.26640000000000003</c:v>
                </c:pt>
                <c:pt idx="1">
                  <c:v>0.66600000000000004</c:v>
                </c:pt>
                <c:pt idx="2">
                  <c:v>1.4452199999999999</c:v>
                </c:pt>
                <c:pt idx="3">
                  <c:v>2.2177800000000003</c:v>
                </c:pt>
                <c:pt idx="4">
                  <c:v>2.9970000000000003</c:v>
                </c:pt>
              </c:numCache>
            </c:numRef>
          </c:xVal>
          <c:yVal>
            <c:numRef>
              <c:f>Sheet1!$B$47:$B$51</c:f>
              <c:numCache>
                <c:formatCode>General</c:formatCode>
                <c:ptCount val="5"/>
                <c:pt idx="0">
                  <c:v>-0.62052703429446077</c:v>
                </c:pt>
                <c:pt idx="1">
                  <c:v>0</c:v>
                </c:pt>
                <c:pt idx="2">
                  <c:v>1.0342117238241013</c:v>
                </c:pt>
                <c:pt idx="3">
                  <c:v>2.0684234476482026</c:v>
                </c:pt>
                <c:pt idx="4">
                  <c:v>3.1026351714723037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41-6840-8307-F8D6486EC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8447"/>
        <c:axId val="9821199"/>
      </c:scatterChart>
      <c:valAx>
        <c:axId val="946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199"/>
        <c:crosses val="autoZero"/>
        <c:crossBetween val="midCat"/>
      </c:valAx>
      <c:valAx>
        <c:axId val="982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717550</xdr:colOff>
      <xdr:row>0</xdr:row>
      <xdr:rowOff>0</xdr:rowOff>
    </xdr:from>
    <xdr:to>
      <xdr:col>18</xdr:col>
      <xdr:colOff>228600</xdr:colOff>
      <xdr:row>27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40936F-8F75-CC15-A2E9-2FB1B227CE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692150</xdr:colOff>
      <xdr:row>22</xdr:row>
      <xdr:rowOff>133350</xdr:rowOff>
    </xdr:from>
    <xdr:to>
      <xdr:col>9</xdr:col>
      <xdr:colOff>311150</xdr:colOff>
      <xdr:row>36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B51D82-F281-D985-CF54-3ADC15D17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25400</xdr:colOff>
      <xdr:row>5</xdr:row>
      <xdr:rowOff>196850</xdr:rowOff>
    </xdr:from>
    <xdr:to>
      <xdr:col>9</xdr:col>
      <xdr:colOff>469900</xdr:colOff>
      <xdr:row>19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530E48-D45D-6BF2-7CC6-1642B0AAE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584200</xdr:colOff>
      <xdr:row>26</xdr:row>
      <xdr:rowOff>120650</xdr:rowOff>
    </xdr:from>
    <xdr:to>
      <xdr:col>15</xdr:col>
      <xdr:colOff>203200</xdr:colOff>
      <xdr:row>40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F45615-6096-AE89-BD8F-59DAEAFDA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101600</xdr:colOff>
      <xdr:row>35</xdr:row>
      <xdr:rowOff>31750</xdr:rowOff>
    </xdr:from>
    <xdr:to>
      <xdr:col>11</xdr:col>
      <xdr:colOff>546100</xdr:colOff>
      <xdr:row>48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CBC18F-1D88-694B-75EC-52AA05B43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304800</xdr:colOff>
      <xdr:row>39</xdr:row>
      <xdr:rowOff>82550</xdr:rowOff>
    </xdr:from>
    <xdr:to>
      <xdr:col>16</xdr:col>
      <xdr:colOff>749300</xdr:colOff>
      <xdr:row>52</xdr:row>
      <xdr:rowOff>184150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951C46-45B0-829C-E18E-117266774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820B8-2997-CE45-BFD7-BF4164670E9E}">
  <dimension ref="A1:I45"/>
  <sheetViews>
    <sheetView topLeftCell="A11" workbookViewId="0">
      <selection activeCell="B25" sqref="B25"/>
    </sheetView>
  </sheetViews>
  <sheetFormatPr baseColWidth="10" defaultRowHeight="16" x14ac:dyDescent="0.2"/>
  <cols>
    <col min="2" max="2" width="22.5" customWidth="1"/>
  </cols>
  <sheetData>
    <row r="1" spans="1:9" x14ac:dyDescent="0.2">
      <c r="A1" t="s">
        <v>4</v>
      </c>
    </row>
    <row r="2" spans="1:9" ht="17" thickBot="1" x14ac:dyDescent="0.25"/>
    <row r="3" spans="1:9" x14ac:dyDescent="0.2">
      <c r="A3" s="3" t="s">
        <v>5</v>
      </c>
      <c r="B3" s="3"/>
    </row>
    <row r="4" spans="1:9" x14ac:dyDescent="0.2">
      <c r="A4" t="s">
        <v>6</v>
      </c>
      <c r="B4">
        <v>0.99935845504446563</v>
      </c>
    </row>
    <row r="5" spans="1:9" x14ac:dyDescent="0.2">
      <c r="A5" t="s">
        <v>7</v>
      </c>
      <c r="B5">
        <v>0.99871732166886118</v>
      </c>
    </row>
    <row r="6" spans="1:9" x14ac:dyDescent="0.2">
      <c r="A6" t="s">
        <v>8</v>
      </c>
      <c r="B6">
        <v>0.99864981228301186</v>
      </c>
    </row>
    <row r="7" spans="1:9" x14ac:dyDescent="0.2">
      <c r="A7" t="s">
        <v>9</v>
      </c>
      <c r="B7">
        <v>4.5599222407425873E-2</v>
      </c>
    </row>
    <row r="8" spans="1:9" ht="17" thickBot="1" x14ac:dyDescent="0.25">
      <c r="A8" s="1" t="s">
        <v>10</v>
      </c>
      <c r="B8" s="1">
        <v>21</v>
      </c>
    </row>
    <row r="10" spans="1:9" ht="17" thickBot="1" x14ac:dyDescent="0.25">
      <c r="A10" t="s">
        <v>11</v>
      </c>
    </row>
    <row r="11" spans="1:9" x14ac:dyDescent="0.2">
      <c r="A11" s="2"/>
      <c r="B11" s="2" t="s">
        <v>16</v>
      </c>
      <c r="C11" s="2" t="s">
        <v>17</v>
      </c>
      <c r="D11" s="2" t="s">
        <v>18</v>
      </c>
      <c r="E11" s="2" t="s">
        <v>19</v>
      </c>
      <c r="F11" s="2" t="s">
        <v>20</v>
      </c>
    </row>
    <row r="12" spans="1:9" x14ac:dyDescent="0.2">
      <c r="A12" t="s">
        <v>12</v>
      </c>
      <c r="B12">
        <v>1</v>
      </c>
      <c r="C12">
        <v>30.760493507400923</v>
      </c>
      <c r="D12">
        <v>30.760493507400923</v>
      </c>
      <c r="E12">
        <v>14793.755106832448</v>
      </c>
      <c r="F12">
        <v>6.0844642382026441E-29</v>
      </c>
    </row>
    <row r="13" spans="1:9" x14ac:dyDescent="0.2">
      <c r="A13" t="s">
        <v>13</v>
      </c>
      <c r="B13">
        <v>19</v>
      </c>
      <c r="C13">
        <v>3.9506492599075911E-2</v>
      </c>
      <c r="D13">
        <v>2.0792890841618899E-3</v>
      </c>
    </row>
    <row r="14" spans="1:9" ht="17" thickBot="1" x14ac:dyDescent="0.25">
      <c r="A14" s="1" t="s">
        <v>14</v>
      </c>
      <c r="B14" s="1">
        <v>20</v>
      </c>
      <c r="C14" s="1">
        <v>30.8</v>
      </c>
      <c r="D14" s="1"/>
      <c r="E14" s="1"/>
      <c r="F14" s="1"/>
    </row>
    <row r="15" spans="1:9" ht="17" thickBot="1" x14ac:dyDescent="0.25"/>
    <row r="16" spans="1:9" x14ac:dyDescent="0.2">
      <c r="A16" s="2"/>
      <c r="B16" s="2" t="s">
        <v>21</v>
      </c>
      <c r="C16" s="2" t="s">
        <v>9</v>
      </c>
      <c r="D16" s="2" t="s">
        <v>22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</row>
    <row r="17" spans="1:9" x14ac:dyDescent="0.2">
      <c r="A17" t="s">
        <v>15</v>
      </c>
      <c r="B17">
        <v>-0.93652443865129431</v>
      </c>
      <c r="C17">
        <v>1.877518790962374E-2</v>
      </c>
      <c r="D17">
        <v>-49.880962212434255</v>
      </c>
      <c r="E17">
        <v>1.3012386903174791E-21</v>
      </c>
      <c r="F17">
        <v>-0.97582135857217289</v>
      </c>
      <c r="G17">
        <v>-0.89722751873041573</v>
      </c>
      <c r="H17">
        <v>-0.97582135857217289</v>
      </c>
      <c r="I17">
        <v>-0.89722751873041573</v>
      </c>
    </row>
    <row r="18" spans="1:9" ht="17" thickBot="1" x14ac:dyDescent="0.25">
      <c r="A18" s="1" t="s">
        <v>2</v>
      </c>
      <c r="B18" s="1">
        <v>1.324546234249776</v>
      </c>
      <c r="C18" s="1">
        <v>1.0890000750013281E-2</v>
      </c>
      <c r="D18" s="1">
        <v>121.62958154508489</v>
      </c>
      <c r="E18" s="1">
        <v>6.0844642382026441E-29</v>
      </c>
      <c r="F18" s="1">
        <v>1.3017532007274737</v>
      </c>
      <c r="G18" s="1">
        <v>1.3473392677720784</v>
      </c>
      <c r="H18" s="1">
        <v>1.3017532007274737</v>
      </c>
      <c r="I18" s="1">
        <v>1.3473392677720784</v>
      </c>
    </row>
    <row r="22" spans="1:9" x14ac:dyDescent="0.2">
      <c r="A22" t="s">
        <v>28</v>
      </c>
    </row>
    <row r="23" spans="1:9" ht="17" thickBot="1" x14ac:dyDescent="0.25"/>
    <row r="24" spans="1:9" x14ac:dyDescent="0.2">
      <c r="A24" s="2" t="s">
        <v>29</v>
      </c>
      <c r="B24" s="2" t="s">
        <v>30</v>
      </c>
      <c r="C24" s="2" t="s">
        <v>31</v>
      </c>
    </row>
    <row r="25" spans="1:9" x14ac:dyDescent="0.2">
      <c r="A25">
        <v>1</v>
      </c>
      <c r="B25">
        <v>-0.84830965945025927</v>
      </c>
      <c r="C25">
        <v>-0.15169034054974073</v>
      </c>
    </row>
    <row r="26" spans="1:9" x14ac:dyDescent="0.2">
      <c r="A26">
        <v>2</v>
      </c>
      <c r="B26">
        <v>-0.76009488024922411</v>
      </c>
      <c r="C26">
        <v>-3.990511975077593E-2</v>
      </c>
    </row>
    <row r="27" spans="1:9" x14ac:dyDescent="0.2">
      <c r="A27">
        <v>3</v>
      </c>
      <c r="B27">
        <v>-0.58366532184715392</v>
      </c>
      <c r="C27">
        <v>-1.6334678152846061E-2</v>
      </c>
    </row>
    <row r="28" spans="1:9" x14ac:dyDescent="0.2">
      <c r="A28">
        <v>4</v>
      </c>
      <c r="B28">
        <v>-0.40723576344508383</v>
      </c>
      <c r="C28">
        <v>7.2357634450838093E-3</v>
      </c>
    </row>
    <row r="29" spans="1:9" x14ac:dyDescent="0.2">
      <c r="A29">
        <v>5</v>
      </c>
      <c r="B29">
        <v>-0.23080620504301352</v>
      </c>
      <c r="C29">
        <v>3.0806205043013513E-2</v>
      </c>
    </row>
    <row r="30" spans="1:9" x14ac:dyDescent="0.2">
      <c r="A30">
        <v>6</v>
      </c>
      <c r="B30">
        <v>-5.4376646640943438E-2</v>
      </c>
      <c r="C30">
        <v>5.4376646640943438E-2</v>
      </c>
    </row>
    <row r="31" spans="1:9" x14ac:dyDescent="0.2">
      <c r="A31">
        <v>7</v>
      </c>
      <c r="B31">
        <v>0.14851734552143725</v>
      </c>
      <c r="C31">
        <v>5.1482654478562762E-2</v>
      </c>
    </row>
    <row r="32" spans="1:9" x14ac:dyDescent="0.2">
      <c r="A32">
        <v>8</v>
      </c>
      <c r="B32">
        <v>0.3602328156039214</v>
      </c>
      <c r="C32">
        <v>3.9767184396078625E-2</v>
      </c>
    </row>
    <row r="33" spans="1:3" x14ac:dyDescent="0.2">
      <c r="A33">
        <v>9</v>
      </c>
      <c r="B33">
        <v>0.56312680776630231</v>
      </c>
      <c r="C33">
        <v>3.6873192233697671E-2</v>
      </c>
    </row>
    <row r="34" spans="1:3" x14ac:dyDescent="0.2">
      <c r="A34">
        <v>10</v>
      </c>
      <c r="B34">
        <v>0.76602079992868277</v>
      </c>
      <c r="C34">
        <v>3.3979200071317273E-2</v>
      </c>
    </row>
    <row r="35" spans="1:3" x14ac:dyDescent="0.2">
      <c r="A35">
        <v>11</v>
      </c>
      <c r="B35">
        <v>0.97773627001116692</v>
      </c>
      <c r="C35">
        <v>2.2263729988833081E-2</v>
      </c>
    </row>
    <row r="36" spans="1:3" x14ac:dyDescent="0.2">
      <c r="A36">
        <v>12</v>
      </c>
      <c r="B36">
        <v>1.1806302621735476</v>
      </c>
      <c r="C36">
        <v>1.9369737826452349E-2</v>
      </c>
    </row>
    <row r="37" spans="1:3" x14ac:dyDescent="0.2">
      <c r="A37">
        <v>13</v>
      </c>
      <c r="B37">
        <v>1.3835242543359283</v>
      </c>
      <c r="C37">
        <v>1.6475745664071617E-2</v>
      </c>
    </row>
    <row r="38" spans="1:3" x14ac:dyDescent="0.2">
      <c r="A38">
        <v>14</v>
      </c>
      <c r="B38">
        <v>1.5952397244184127</v>
      </c>
      <c r="C38">
        <v>4.7602755815874254E-3</v>
      </c>
    </row>
    <row r="39" spans="1:3" x14ac:dyDescent="0.2">
      <c r="A39">
        <v>15</v>
      </c>
      <c r="B39">
        <v>1.7981337165807934</v>
      </c>
      <c r="C39">
        <v>1.8662834192066935E-3</v>
      </c>
    </row>
    <row r="40" spans="1:3" x14ac:dyDescent="0.2">
      <c r="A40">
        <v>16</v>
      </c>
      <c r="B40">
        <v>2.0010277087431745</v>
      </c>
      <c r="C40">
        <v>-1.0277087431744825E-3</v>
      </c>
    </row>
    <row r="41" spans="1:3" x14ac:dyDescent="0.2">
      <c r="A41">
        <v>17</v>
      </c>
      <c r="B41">
        <v>2.212743178825658</v>
      </c>
      <c r="C41">
        <v>-1.2743178825657786E-2</v>
      </c>
    </row>
    <row r="42" spans="1:3" x14ac:dyDescent="0.2">
      <c r="A42">
        <v>18</v>
      </c>
      <c r="B42">
        <v>2.4156371709880391</v>
      </c>
      <c r="C42">
        <v>-1.5637170988039184E-2</v>
      </c>
    </row>
    <row r="43" spans="1:3" x14ac:dyDescent="0.2">
      <c r="A43">
        <v>19</v>
      </c>
      <c r="B43">
        <v>2.6185311631504202</v>
      </c>
      <c r="C43">
        <v>-1.8531163150420138E-2</v>
      </c>
    </row>
    <row r="44" spans="1:3" x14ac:dyDescent="0.2">
      <c r="A44">
        <v>20</v>
      </c>
      <c r="B44">
        <v>2.8302466332329037</v>
      </c>
      <c r="C44">
        <v>-3.0246633232903886E-2</v>
      </c>
    </row>
    <row r="45" spans="1:3" ht="17" thickBot="1" x14ac:dyDescent="0.25">
      <c r="A45" s="1">
        <v>21</v>
      </c>
      <c r="B45" s="1">
        <v>3.0331406253952848</v>
      </c>
      <c r="C45" s="1">
        <v>-3.314062539528484E-2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D734E-C228-9042-BC99-8AF31D097B3D}">
  <dimension ref="A1:D51"/>
  <sheetViews>
    <sheetView tabSelected="1" topLeftCell="A17" workbookViewId="0">
      <selection activeCell="C49" sqref="C49"/>
    </sheetView>
  </sheetViews>
  <sheetFormatPr baseColWidth="10" defaultRowHeight="16" x14ac:dyDescent="0.2"/>
  <sheetData>
    <row r="1" spans="1:4" x14ac:dyDescent="0.2">
      <c r="A1" t="s">
        <v>0</v>
      </c>
      <c r="B1" t="s">
        <v>2</v>
      </c>
      <c r="C1" t="s">
        <v>32</v>
      </c>
      <c r="D1" t="s">
        <v>1</v>
      </c>
    </row>
    <row r="2" spans="1:4" x14ac:dyDescent="0.2">
      <c r="A2">
        <v>0.1</v>
      </c>
      <c r="B2">
        <f>A2*$B$25</f>
        <v>6.6600000000000006E-2</v>
      </c>
      <c r="C2">
        <f>B2-$B$27</f>
        <v>-2.6400000000000076E-2</v>
      </c>
      <c r="D2">
        <v>-1</v>
      </c>
    </row>
    <row r="3" spans="1:4" x14ac:dyDescent="0.2">
      <c r="A3">
        <v>0.2</v>
      </c>
      <c r="B3">
        <f t="shared" ref="B3:B22" si="0">A3*$B$25</f>
        <v>0.13320000000000001</v>
      </c>
      <c r="C3">
        <f t="shared" ref="C3:C22" si="1">B3-$B$27</f>
        <v>4.019999999999993E-2</v>
      </c>
      <c r="D3">
        <v>-0.8</v>
      </c>
    </row>
    <row r="4" spans="1:4" x14ac:dyDescent="0.2">
      <c r="A4">
        <v>0.4</v>
      </c>
      <c r="B4">
        <f t="shared" si="0"/>
        <v>0.26640000000000003</v>
      </c>
      <c r="C4">
        <f t="shared" si="1"/>
        <v>0.17339999999999994</v>
      </c>
      <c r="D4">
        <v>-0.6</v>
      </c>
    </row>
    <row r="5" spans="1:4" x14ac:dyDescent="0.2">
      <c r="A5">
        <v>0.6</v>
      </c>
      <c r="B5">
        <f t="shared" si="0"/>
        <v>0.39960000000000001</v>
      </c>
      <c r="C5">
        <f t="shared" si="1"/>
        <v>0.30659999999999993</v>
      </c>
      <c r="D5">
        <v>-0.4</v>
      </c>
    </row>
    <row r="6" spans="1:4" x14ac:dyDescent="0.2">
      <c r="A6">
        <v>0.8</v>
      </c>
      <c r="B6">
        <f t="shared" si="0"/>
        <v>0.53280000000000005</v>
      </c>
      <c r="C6">
        <f t="shared" si="1"/>
        <v>0.43979999999999997</v>
      </c>
      <c r="D6">
        <v>-0.2</v>
      </c>
    </row>
    <row r="7" spans="1:4" x14ac:dyDescent="0.2">
      <c r="A7">
        <v>1</v>
      </c>
      <c r="B7">
        <f t="shared" si="0"/>
        <v>0.66600000000000004</v>
      </c>
      <c r="C7">
        <f t="shared" si="1"/>
        <v>0.57299999999999995</v>
      </c>
      <c r="D7">
        <v>0</v>
      </c>
    </row>
    <row r="8" spans="1:4" x14ac:dyDescent="0.2">
      <c r="A8">
        <v>1.23</v>
      </c>
      <c r="B8">
        <f t="shared" si="0"/>
        <v>0.81918000000000002</v>
      </c>
      <c r="C8">
        <f t="shared" si="1"/>
        <v>0.72617999999999994</v>
      </c>
      <c r="D8">
        <v>0.2</v>
      </c>
    </row>
    <row r="9" spans="1:4" x14ac:dyDescent="0.2">
      <c r="A9">
        <v>1.47</v>
      </c>
      <c r="B9">
        <f t="shared" si="0"/>
        <v>0.97902</v>
      </c>
      <c r="C9">
        <f t="shared" si="1"/>
        <v>0.88601999999999992</v>
      </c>
      <c r="D9">
        <v>0.4</v>
      </c>
    </row>
    <row r="10" spans="1:4" x14ac:dyDescent="0.2">
      <c r="A10">
        <v>1.7</v>
      </c>
      <c r="B10">
        <f t="shared" si="0"/>
        <v>1.1322000000000001</v>
      </c>
      <c r="C10">
        <f t="shared" si="1"/>
        <v>1.0392000000000001</v>
      </c>
      <c r="D10">
        <v>0.6</v>
      </c>
    </row>
    <row r="11" spans="1:4" x14ac:dyDescent="0.2">
      <c r="A11">
        <v>1.93</v>
      </c>
      <c r="B11">
        <f t="shared" si="0"/>
        <v>1.28538</v>
      </c>
      <c r="C11">
        <f t="shared" si="1"/>
        <v>1.19238</v>
      </c>
      <c r="D11">
        <v>0.8</v>
      </c>
    </row>
    <row r="12" spans="1:4" x14ac:dyDescent="0.2">
      <c r="A12">
        <v>2.17</v>
      </c>
      <c r="B12">
        <f t="shared" si="0"/>
        <v>1.4452199999999999</v>
      </c>
      <c r="C12">
        <f t="shared" si="1"/>
        <v>1.35222</v>
      </c>
      <c r="D12">
        <v>1</v>
      </c>
    </row>
    <row r="13" spans="1:4" x14ac:dyDescent="0.2">
      <c r="A13">
        <v>2.4</v>
      </c>
      <c r="B13">
        <f t="shared" si="0"/>
        <v>1.5984</v>
      </c>
      <c r="C13">
        <f t="shared" si="1"/>
        <v>1.5053999999999998</v>
      </c>
      <c r="D13">
        <v>1.2</v>
      </c>
    </row>
    <row r="14" spans="1:4" x14ac:dyDescent="0.2">
      <c r="A14">
        <v>2.63</v>
      </c>
      <c r="B14">
        <f t="shared" si="0"/>
        <v>1.7515799999999999</v>
      </c>
      <c r="C14">
        <f t="shared" si="1"/>
        <v>1.6585799999999997</v>
      </c>
      <c r="D14">
        <v>1.4</v>
      </c>
    </row>
    <row r="15" spans="1:4" x14ac:dyDescent="0.2">
      <c r="A15">
        <v>2.87</v>
      </c>
      <c r="B15">
        <f t="shared" si="0"/>
        <v>1.9114200000000001</v>
      </c>
      <c r="C15">
        <f t="shared" si="1"/>
        <v>1.8184200000000001</v>
      </c>
      <c r="D15">
        <v>1.6</v>
      </c>
    </row>
    <row r="16" spans="1:4" x14ac:dyDescent="0.2">
      <c r="A16">
        <v>3.1</v>
      </c>
      <c r="B16">
        <f t="shared" si="0"/>
        <v>2.0646</v>
      </c>
      <c r="C16">
        <f t="shared" si="1"/>
        <v>1.9716</v>
      </c>
      <c r="D16">
        <v>1.8</v>
      </c>
    </row>
    <row r="17" spans="1:4" x14ac:dyDescent="0.2">
      <c r="A17">
        <v>3.33</v>
      </c>
      <c r="B17">
        <f t="shared" si="0"/>
        <v>2.2177800000000003</v>
      </c>
      <c r="C17">
        <f t="shared" si="1"/>
        <v>2.1247800000000003</v>
      </c>
      <c r="D17">
        <v>2</v>
      </c>
    </row>
    <row r="18" spans="1:4" x14ac:dyDescent="0.2">
      <c r="A18">
        <v>3.57</v>
      </c>
      <c r="B18">
        <f t="shared" si="0"/>
        <v>2.3776199999999998</v>
      </c>
      <c r="C18">
        <f t="shared" si="1"/>
        <v>2.2846199999999999</v>
      </c>
      <c r="D18">
        <v>2.2000000000000002</v>
      </c>
    </row>
    <row r="19" spans="1:4" x14ac:dyDescent="0.2">
      <c r="A19">
        <v>3.8</v>
      </c>
      <c r="B19">
        <f t="shared" si="0"/>
        <v>2.5308000000000002</v>
      </c>
      <c r="C19">
        <f t="shared" si="1"/>
        <v>2.4378000000000002</v>
      </c>
      <c r="D19">
        <v>2.4</v>
      </c>
    </row>
    <row r="20" spans="1:4" x14ac:dyDescent="0.2">
      <c r="A20">
        <v>4.03</v>
      </c>
      <c r="B20">
        <f t="shared" si="0"/>
        <v>2.6839800000000005</v>
      </c>
      <c r="C20">
        <f t="shared" si="1"/>
        <v>2.5909800000000005</v>
      </c>
      <c r="D20">
        <v>2.6</v>
      </c>
    </row>
    <row r="21" spans="1:4" x14ac:dyDescent="0.2">
      <c r="A21">
        <v>4.2699999999999996</v>
      </c>
      <c r="B21">
        <f t="shared" si="0"/>
        <v>2.84382</v>
      </c>
      <c r="C21">
        <f t="shared" si="1"/>
        <v>2.75082</v>
      </c>
      <c r="D21">
        <v>2.8</v>
      </c>
    </row>
    <row r="22" spans="1:4" x14ac:dyDescent="0.2">
      <c r="A22">
        <v>4.5</v>
      </c>
      <c r="B22">
        <f t="shared" si="0"/>
        <v>2.9970000000000003</v>
      </c>
      <c r="C22">
        <f t="shared" si="1"/>
        <v>2.9040000000000004</v>
      </c>
      <c r="D22">
        <v>3</v>
      </c>
    </row>
    <row r="25" spans="1:4" x14ac:dyDescent="0.2">
      <c r="A25" t="s">
        <v>3</v>
      </c>
      <c r="B25">
        <f>3.33/5</f>
        <v>0.66600000000000004</v>
      </c>
    </row>
    <row r="27" spans="1:4" x14ac:dyDescent="0.2">
      <c r="B27">
        <f>0.666-0.573</f>
        <v>9.3000000000000083E-2</v>
      </c>
    </row>
    <row r="30" spans="1:4" x14ac:dyDescent="0.2">
      <c r="B30" t="s">
        <v>1</v>
      </c>
      <c r="C30" t="s">
        <v>0</v>
      </c>
    </row>
    <row r="31" spans="1:4" x14ac:dyDescent="0.2">
      <c r="B31">
        <v>2.25</v>
      </c>
      <c r="C31">
        <v>1.83</v>
      </c>
    </row>
    <row r="32" spans="1:4" x14ac:dyDescent="0.2">
      <c r="B32">
        <v>2</v>
      </c>
      <c r="C32">
        <v>1.76</v>
      </c>
    </row>
    <row r="33" spans="2:3" x14ac:dyDescent="0.2">
      <c r="B33">
        <v>1.5</v>
      </c>
      <c r="C33">
        <v>1.5</v>
      </c>
    </row>
    <row r="34" spans="2:3" x14ac:dyDescent="0.2">
      <c r="B34">
        <v>1.25</v>
      </c>
      <c r="C34">
        <v>1.375</v>
      </c>
    </row>
    <row r="35" spans="2:3" x14ac:dyDescent="0.2">
      <c r="B35">
        <v>1</v>
      </c>
      <c r="C35">
        <v>1.2210000000000001</v>
      </c>
    </row>
    <row r="36" spans="2:3" x14ac:dyDescent="0.2">
      <c r="B36">
        <v>0.75</v>
      </c>
      <c r="C36">
        <v>1.0900000000000001</v>
      </c>
    </row>
    <row r="37" spans="2:3" x14ac:dyDescent="0.2">
      <c r="B37">
        <v>0.5</v>
      </c>
      <c r="C37">
        <v>0.95</v>
      </c>
    </row>
    <row r="41" spans="2:3" x14ac:dyDescent="0.2">
      <c r="B41">
        <v>-9</v>
      </c>
      <c r="C41">
        <v>0.4</v>
      </c>
    </row>
    <row r="42" spans="2:3" x14ac:dyDescent="0.2">
      <c r="B42">
        <v>0</v>
      </c>
      <c r="C42">
        <v>1</v>
      </c>
    </row>
    <row r="43" spans="2:3" x14ac:dyDescent="0.2">
      <c r="B43">
        <v>15</v>
      </c>
      <c r="C43">
        <v>2.17</v>
      </c>
    </row>
    <row r="44" spans="2:3" x14ac:dyDescent="0.2">
      <c r="B44">
        <v>30</v>
      </c>
      <c r="C44">
        <v>3.33</v>
      </c>
    </row>
    <row r="45" spans="2:3" x14ac:dyDescent="0.2">
      <c r="B45">
        <v>45</v>
      </c>
      <c r="C45">
        <v>4.5</v>
      </c>
    </row>
    <row r="47" spans="2:3" x14ac:dyDescent="0.2">
      <c r="B47">
        <f>B41/14.5038</f>
        <v>-0.62052703429446077</v>
      </c>
      <c r="C47">
        <f>C41*$B$25</f>
        <v>0.26640000000000003</v>
      </c>
    </row>
    <row r="48" spans="2:3" x14ac:dyDescent="0.2">
      <c r="B48">
        <f>B42/14.5038</f>
        <v>0</v>
      </c>
      <c r="C48">
        <f t="shared" ref="C48:C51" si="2">C42*$B$25</f>
        <v>0.66600000000000004</v>
      </c>
    </row>
    <row r="49" spans="2:3" x14ac:dyDescent="0.2">
      <c r="B49">
        <f>B43/14.5038</f>
        <v>1.0342117238241013</v>
      </c>
      <c r="C49">
        <f t="shared" si="2"/>
        <v>1.4452199999999999</v>
      </c>
    </row>
    <row r="50" spans="2:3" x14ac:dyDescent="0.2">
      <c r="B50">
        <f>B44/14.5038</f>
        <v>2.0684234476482026</v>
      </c>
      <c r="C50">
        <f t="shared" si="2"/>
        <v>2.2177800000000003</v>
      </c>
    </row>
    <row r="51" spans="2:3" x14ac:dyDescent="0.2">
      <c r="B51">
        <f>B45/14.5038</f>
        <v>3.1026351714723037</v>
      </c>
      <c r="C51">
        <f t="shared" si="2"/>
        <v>2.9970000000000003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Ross</dc:creator>
  <cp:lastModifiedBy>Tim Ross</cp:lastModifiedBy>
  <dcterms:created xsi:type="dcterms:W3CDTF">2024-04-17T08:05:37Z</dcterms:created>
  <dcterms:modified xsi:type="dcterms:W3CDTF">2024-04-17T13:22:07Z</dcterms:modified>
</cp:coreProperties>
</file>